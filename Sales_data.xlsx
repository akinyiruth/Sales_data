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8_{D3A720C8-FB1E-4579-9C18-A4A1FAD8A60A}" xr6:coauthVersionLast="47" xr6:coauthVersionMax="47" xr10:uidLastSave="{00000000-0000-0000-0000-000000000000}"/>
  <bookViews>
    <workbookView xWindow="-120" yWindow="-120" windowWidth="20730" windowHeight="11040" activeTab="2" xr2:uid="{1BE3E1EA-CFCD-4FCE-ACF8-BCF5191F1A2F}"/>
  </bookViews>
  <sheets>
    <sheet name="Dashboard" sheetId="2" r:id="rId1"/>
    <sheet name="Analysis" sheetId="3" r:id="rId2"/>
    <sheet name="Sales_data" sheetId="1" r:id="rId3"/>
  </sheets>
  <definedNames>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2" i="1"/>
</calcChain>
</file>

<file path=xl/sharedStrings.xml><?xml version="1.0" encoding="utf-8"?>
<sst xmlns="http://schemas.openxmlformats.org/spreadsheetml/2006/main" count="73" uniqueCount="25">
  <si>
    <t>Date</t>
  </si>
  <si>
    <t>Product</t>
  </si>
  <si>
    <t>Category</t>
  </si>
  <si>
    <t>Region</t>
  </si>
  <si>
    <t>Sales_Rep</t>
  </si>
  <si>
    <t>Units_Sold</t>
  </si>
  <si>
    <t>Unit_Price</t>
  </si>
  <si>
    <t>Shampoo</t>
  </si>
  <si>
    <t>Personal Care</t>
  </si>
  <si>
    <t>Nairobi</t>
  </si>
  <si>
    <t>Alice</t>
  </si>
  <si>
    <t>Conditioner</t>
  </si>
  <si>
    <t>Kisumu</t>
  </si>
  <si>
    <t>John</t>
  </si>
  <si>
    <t>Soap</t>
  </si>
  <si>
    <t>Mary</t>
  </si>
  <si>
    <t>Detergent</t>
  </si>
  <si>
    <t>Home Care</t>
  </si>
  <si>
    <t>Nakuru</t>
  </si>
  <si>
    <t>Peter</t>
  </si>
  <si>
    <t>Total sales</t>
  </si>
  <si>
    <t>Row Labels</t>
  </si>
  <si>
    <t>Grand Total</t>
  </si>
  <si>
    <t>Sum of Total sales</t>
  </si>
  <si>
    <t>Sum of 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</si>
</sst>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1"/>
      <color theme="1"/>
      <name val="Calibri"/>
      <family val="2"/>
      <scheme val="minor"/>
    </font>
    <font>
      <b/>
      <sz val="18"/>
      <color theme="1"/>
      <name val="Calibri"/>
      <family val="2"/>
      <scheme val="minor"/>
    </font>
    <font>
      <sz val="10"/>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14" fontId="1" fillId="0" borderId="0" xfId="0" applyNumberFormat="1" applyFont="1" applyAlignment="1">
      <alignment vertical="center"/>
    </xf>
    <xf numFmtId="0" fontId="0" fillId="0" borderId="0" xfId="0" pivotButton="1"/>
    <xf numFmtId="0" fontId="0" fillId="0" borderId="0" xfId="0" applyAlignment="1">
      <alignment horizontal="left"/>
    </xf>
    <xf numFmtId="0" fontId="2" fillId="0" borderId="0" xfId="0" applyFont="1"/>
    <xf numFmtId="0" fontId="3" fillId="0" borderId="0" xfId="0" applyFont="1" applyAlignment="1">
      <alignment horizontal="left" vertical="top"/>
    </xf>
    <xf numFmtId="0" fontId="5"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xf>
    <xf numFmtId="0" fontId="0" fillId="2"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[Sales_data.xlsx]Analysis!sales by Product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Analysis!$J$13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Analysis!$I$14:$I$18</c:f>
              <c:strCache>
                <c:ptCount val="4"/>
                <c:pt idx="0">
                  <c:v>Conditioner</c:v>
                </c:pt>
                <c:pt idx="1">
                  <c:v>Detergent</c:v>
                </c:pt>
                <c:pt idx="2">
                  <c:v>Shampoo</c:v>
                </c:pt>
                <c:pt idx="3">
                  <c:v>Soap</c:v>
                </c:pt>
              </c:strCache>
            </c:strRef>
          </c:cat>
          <c:val>
            <c:numRef>
              <c:f>Analysis!$J$14:$J$18</c:f>
              <c:numCache>
                <c:formatCode>General</c:formatCode>
                <c:ptCount val="4"/>
                <c:pt idx="0">
                  <c:v>5250</c:v>
                </c:pt>
                <c:pt idx="1">
                  <c:v>5500</c:v>
                </c:pt>
                <c:pt idx="2">
                  <c:v>9000</c:v>
                </c:pt>
                <c:pt idx="3">
                  <c:v>5300</c:v>
                </c:pt>
              </c:numCache>
            </c:numRef>
          </c:val>
          <c:extLst>
            <c:ext xmlns:c16="http://schemas.microsoft.com/office/drawing/2014/chart" uri="{C3380CC4-5D6E-409C-BE32-E72D297353CC}">
              <c16:uniqueId val="{00000000-7C77-4104-86C5-5806BBBD437F}"/>
            </c:ext>
          </c:extLst>
        </c:ser>
        <c:dLbls>
          <c:showLegendKey val="0"/>
          <c:showVal val="0"/>
          <c:showCatName val="0"/>
          <c:showSerName val="0"/>
          <c:showPercent val="0"/>
          <c:showBubbleSize val="0"/>
        </c:dLbls>
        <c:gapWidth val="115"/>
        <c:overlap val="-20"/>
        <c:axId val="181761743"/>
        <c:axId val="181759823"/>
      </c:barChart>
      <c:catAx>
        <c:axId val="181761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59823"/>
        <c:crosses val="autoZero"/>
        <c:auto val="1"/>
        <c:lblAlgn val="ctr"/>
        <c:lblOffset val="100"/>
        <c:noMultiLvlLbl val="0"/>
      </c:catAx>
      <c:valAx>
        <c:axId val="18175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6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[Sales_data.xlsx]Analysis!Sales by Region</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26793079200464437"/>
          <c:y val="9.89813425867883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04555558101697E-2"/>
          <c:y val="0.25606262758821813"/>
          <c:w val="0.93888888888888888"/>
          <c:h val="0.52644757946923304"/>
        </c:manualLayout>
      </c:layout>
      <c:barChart>
        <c:barDir val="col"/>
        <c:grouping val="clustered"/>
        <c:varyColors val="0"/>
        <c:ser>
          <c:idx val="0"/>
          <c:order val="0"/>
          <c:tx>
            <c:strRef>
              <c:f>Analysis!$J$2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Analysis!$I$3:$I$6</c:f>
              <c:strCache>
                <c:ptCount val="3"/>
                <c:pt idx="0">
                  <c:v>Kisumu</c:v>
                </c:pt>
                <c:pt idx="1">
                  <c:v>Nairobi</c:v>
                </c:pt>
                <c:pt idx="2">
                  <c:v>Nakuru</c:v>
                </c:pt>
              </c:strCache>
            </c:strRef>
          </c:cat>
          <c:val>
            <c:numRef>
              <c:f>Analysis!$J$3:$J$6</c:f>
              <c:numCache>
                <c:formatCode>General</c:formatCode>
                <c:ptCount val="3"/>
                <c:pt idx="0">
                  <c:v>7300</c:v>
                </c:pt>
                <c:pt idx="1">
                  <c:v>8950</c:v>
                </c:pt>
                <c:pt idx="2">
                  <c:v>8800</c:v>
                </c:pt>
              </c:numCache>
            </c:numRef>
          </c:val>
          <c:extLst>
            <c:ext xmlns:c16="http://schemas.microsoft.com/office/drawing/2014/chart" uri="{C3380CC4-5D6E-409C-BE32-E72D297353CC}">
              <c16:uniqueId val="{00000000-B7CE-4F5C-8D5C-0FD4E1D1205A}"/>
            </c:ext>
          </c:extLst>
        </c:ser>
        <c:dLbls>
          <c:dLblPos val="outEnd"/>
          <c:showLegendKey val="0"/>
          <c:showVal val="1"/>
          <c:showCatName val="0"/>
          <c:showSerName val="0"/>
          <c:showPercent val="0"/>
          <c:showBubbleSize val="0"/>
        </c:dLbls>
        <c:gapWidth val="100"/>
        <c:overlap val="-24"/>
        <c:axId val="181781903"/>
        <c:axId val="181791983"/>
      </c:barChart>
      <c:catAx>
        <c:axId val="1817819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91983"/>
        <c:crosses val="autoZero"/>
        <c:auto val="1"/>
        <c:lblAlgn val="ctr"/>
        <c:lblOffset val="100"/>
        <c:noMultiLvlLbl val="0"/>
      </c:catAx>
      <c:valAx>
        <c:axId val="181791983"/>
        <c:scaling>
          <c:orientation val="minMax"/>
        </c:scaling>
        <c:delete val="1"/>
        <c:axPos val="l"/>
        <c:numFmt formatCode="General" sourceLinked="1"/>
        <c:majorTickMark val="none"/>
        <c:minorTickMark val="none"/>
        <c:tickLblPos val="nextTo"/>
        <c:crossAx val="18178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[Sales_data.xlsx]Analysis!Unit-Sold by Sales-Rep</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Unit-Sold by Sales-Rep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62270341207351"/>
          <c:y val="0.26069225721784778"/>
          <c:w val="0.69604396325459317"/>
          <c:h val="0.61801946631671045"/>
        </c:manualLayout>
      </c:layout>
      <c:barChart>
        <c:barDir val="bar"/>
        <c:grouping val="clustered"/>
        <c:varyColors val="0"/>
        <c:ser>
          <c:idx val="0"/>
          <c:order val="0"/>
          <c:tx>
            <c:strRef>
              <c:f>Analysis!$C$11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Analysis!$B$12:$B$16</c:f>
              <c:strCache>
                <c:ptCount val="4"/>
                <c:pt idx="0">
                  <c:v>Alice</c:v>
                </c:pt>
                <c:pt idx="1">
                  <c:v>John</c:v>
                </c:pt>
                <c:pt idx="2">
                  <c:v>Mary</c:v>
                </c:pt>
                <c:pt idx="3">
                  <c:v>Peter</c:v>
                </c:pt>
              </c:strCache>
            </c:strRef>
          </c:cat>
          <c:val>
            <c:numRef>
              <c:f>Analysis!$C$12:$C$16</c:f>
              <c:numCache>
                <c:formatCode>General</c:formatCode>
                <c:ptCount val="4"/>
                <c:pt idx="0">
                  <c:v>30</c:v>
                </c:pt>
                <c:pt idx="1">
                  <c:v>28</c:v>
                </c:pt>
                <c:pt idx="2">
                  <c:v>43</c:v>
                </c:pt>
                <c:pt idx="3">
                  <c:v>19</c:v>
                </c:pt>
              </c:numCache>
            </c:numRef>
          </c:val>
          <c:extLst>
            <c:ext xmlns:c16="http://schemas.microsoft.com/office/drawing/2014/chart" uri="{C3380CC4-5D6E-409C-BE32-E72D297353CC}">
              <c16:uniqueId val="{00000000-BCBD-447F-90A4-3753CCBC730D}"/>
            </c:ext>
          </c:extLst>
        </c:ser>
        <c:dLbls>
          <c:showLegendKey val="0"/>
          <c:showVal val="0"/>
          <c:showCatName val="0"/>
          <c:showSerName val="0"/>
          <c:showPercent val="0"/>
          <c:showBubbleSize val="0"/>
        </c:dLbls>
        <c:gapWidth val="115"/>
        <c:overlap val="-20"/>
        <c:axId val="181789583"/>
        <c:axId val="181799183"/>
      </c:barChart>
      <c:catAx>
        <c:axId val="181789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99183"/>
        <c:crosses val="autoZero"/>
        <c:auto val="1"/>
        <c:lblAlgn val="ctr"/>
        <c:lblOffset val="100"/>
        <c:noMultiLvlLbl val="0"/>
      </c:catAx>
      <c:valAx>
        <c:axId val="181799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8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[Sales_data.xlsx]Analysis!Sales by Category</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Analysis!$C$3</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17-427C-AFC8-1FD01F94962D}"/>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17-427C-AFC8-1FD01F949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Analysis!$B$4:$B$6</c:f>
              <c:strCache>
                <c:ptCount val="2"/>
                <c:pt idx="0">
                  <c:v>Home Care</c:v>
                </c:pt>
                <c:pt idx="1">
                  <c:v>Personal Care</c:v>
                </c:pt>
              </c:strCache>
            </c:strRef>
          </c:cat>
          <c:val>
            <c:numRef>
              <c:f>Analysis!$C$4:$C$6</c:f>
              <c:numCache>
                <c:formatCode>General</c:formatCode>
                <c:ptCount val="2"/>
                <c:pt idx="0">
                  <c:v>5500</c:v>
                </c:pt>
                <c:pt idx="1">
                  <c:v>19550</c:v>
                </c:pt>
              </c:numCache>
            </c:numRef>
          </c:val>
          <c:extLst>
            <c:ext xmlns:c16="http://schemas.microsoft.com/office/drawing/2014/chart" uri="{C3380CC4-5D6E-409C-BE32-E72D297353CC}">
              <c16:uniqueId val="{00000004-9817-427C-AFC8-1FD01F94962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3.xml"/><Relationship Id="rId7" Type="http://schemas.openxmlformats.org/officeDocument/2006/relationships/hyperlink" Target="mailto:akinyir722@gmail.com"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ales_data!A1"/><Relationship Id="rId5" Type="http://schemas.openxmlformats.org/officeDocument/2006/relationships/hyperlink" Target="#Dashboard!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mailto:akinyir722@gmail.com" TargetMode="External"/><Relationship Id="rId2" Type="http://schemas.openxmlformats.org/officeDocument/2006/relationships/hyperlink" Target="#Sales_data!A1"/><Relationship Id="rId1" Type="http://schemas.openxmlformats.org/officeDocument/2006/relationships/hyperlink" Target="#Dashboard!A1"/><Relationship Id="rId4" Type="http://schemas.openxmlformats.org/officeDocument/2006/relationships/hyperlink" Target="#Analysis!A1"/></Relationships>
</file>

<file path=xl/drawings/_rels/drawing3.xml.rels><?xml version="1.0" encoding="UTF-8" standalone="yes"?>
<Relationships xmlns="http://schemas.openxmlformats.org/package/2006/relationships"><Relationship Id="rId3" Type="http://schemas.openxmlformats.org/officeDocument/2006/relationships/hyperlink" Target="mailto:akinyir722@gmail.com" TargetMode="External"/><Relationship Id="rId2" Type="http://schemas.openxmlformats.org/officeDocument/2006/relationships/hyperlink" Target="#Sales_data!A1"/><Relationship Id="rId1" Type="http://schemas.openxmlformats.org/officeDocument/2006/relationships/hyperlink" Target="#Dashboard!A1"/><Relationship Id="rId4"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1</xdr:col>
      <xdr:colOff>247650</xdr:colOff>
      <xdr:row>6</xdr:row>
      <xdr:rowOff>176211</xdr:rowOff>
    </xdr:from>
    <xdr:to>
      <xdr:col>5</xdr:col>
      <xdr:colOff>504825</xdr:colOff>
      <xdr:row>18</xdr:row>
      <xdr:rowOff>152399</xdr:rowOff>
    </xdr:to>
    <xdr:graphicFrame macro="">
      <xdr:nvGraphicFramePr>
        <xdr:cNvPr id="2" name="Chart 1">
          <a:extLst>
            <a:ext uri="{FF2B5EF4-FFF2-40B4-BE49-F238E27FC236}">
              <a16:creationId xmlns:a16="http://schemas.microsoft.com/office/drawing/2014/main" id="{DE29CAFE-6C2A-E25A-F79F-18502EA03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176211</xdr:rowOff>
    </xdr:from>
    <xdr:to>
      <xdr:col>10</xdr:col>
      <xdr:colOff>538162</xdr:colOff>
      <xdr:row>18</xdr:row>
      <xdr:rowOff>171449</xdr:rowOff>
    </xdr:to>
    <xdr:graphicFrame macro="">
      <xdr:nvGraphicFramePr>
        <xdr:cNvPr id="3" name="Chart 1">
          <a:extLst>
            <a:ext uri="{FF2B5EF4-FFF2-40B4-BE49-F238E27FC236}">
              <a16:creationId xmlns:a16="http://schemas.microsoft.com/office/drawing/2014/main" id="{8A28DCF2-486E-4A02-8F75-53F9203F3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247650</xdr:colOff>
      <xdr:row>19</xdr:row>
      <xdr:rowOff>14287</xdr:rowOff>
    </xdr:from>
    <xdr:to>
      <xdr:col>5</xdr:col>
      <xdr:colOff>504825</xdr:colOff>
      <xdr:row>31</xdr:row>
      <xdr:rowOff>28575</xdr:rowOff>
    </xdr:to>
    <xdr:graphicFrame macro="">
      <xdr:nvGraphicFramePr>
        <xdr:cNvPr id="4" name="Chart 1">
          <a:extLst>
            <a:ext uri="{FF2B5EF4-FFF2-40B4-BE49-F238E27FC236}">
              <a16:creationId xmlns:a16="http://schemas.microsoft.com/office/drawing/2014/main" id="{0BB62CB1-54AD-D31E-9700-48B05376B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19051</xdr:colOff>
      <xdr:row>19</xdr:row>
      <xdr:rowOff>9524</xdr:rowOff>
    </xdr:from>
    <xdr:to>
      <xdr:col>10</xdr:col>
      <xdr:colOff>542926</xdr:colOff>
      <xdr:row>31</xdr:row>
      <xdr:rowOff>0</xdr:rowOff>
    </xdr:to>
    <xdr:graphicFrame macro="">
      <xdr:nvGraphicFramePr>
        <xdr:cNvPr id="5" name="Chart 1">
          <a:extLst>
            <a:ext uri="{FF2B5EF4-FFF2-40B4-BE49-F238E27FC236}">
              <a16:creationId xmlns:a16="http://schemas.microsoft.com/office/drawing/2014/main" id="{55F4C3D6-2794-8AF2-98C5-CE441729A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11</xdr:row>
      <xdr:rowOff>114300</xdr:rowOff>
    </xdr:from>
    <xdr:to>
      <xdr:col>0</xdr:col>
      <xdr:colOff>1266825</xdr:colOff>
      <xdr:row>19</xdr:row>
      <xdr:rowOff>19050</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563B161C-7FAC-5CDB-2314-84B77D56DF9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2314575"/>
              <a:ext cx="126682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171450</xdr:rowOff>
    </xdr:from>
    <xdr:to>
      <xdr:col>0</xdr:col>
      <xdr:colOff>1238250</xdr:colOff>
      <xdr:row>26</xdr:row>
      <xdr:rowOff>66675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45F9E01-A635-A980-270D-2375CDC323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895725"/>
              <a:ext cx="123825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619124</xdr:colOff>
      <xdr:row>0</xdr:row>
      <xdr:rowOff>57150</xdr:rowOff>
    </xdr:from>
    <xdr:to>
      <xdr:col>10</xdr:col>
      <xdr:colOff>0</xdr:colOff>
      <xdr:row>2</xdr:row>
      <xdr:rowOff>57150</xdr:rowOff>
    </xdr:to>
    <xdr:sp macro="" textlink="">
      <xdr:nvSpPr>
        <xdr:cNvPr id="9" name="Rectangle: Rounded Corners 8">
          <a:extLst>
            <a:ext uri="{FF2B5EF4-FFF2-40B4-BE49-F238E27FC236}">
              <a16:creationId xmlns:a16="http://schemas.microsoft.com/office/drawing/2014/main" id="{5A62F0EC-47FC-5B52-CD1A-24C5770915E3}"/>
            </a:ext>
          </a:extLst>
        </xdr:cNvPr>
        <xdr:cNvSpPr/>
      </xdr:nvSpPr>
      <xdr:spPr>
        <a:xfrm>
          <a:off x="1914524" y="57150"/>
          <a:ext cx="6762751" cy="485775"/>
        </a:xfrm>
        <a:prstGeom prst="roundRect">
          <a:avLst/>
        </a:prstGeom>
        <a:solidFill>
          <a:schemeClr val="accent6">
            <a:alpha val="50000"/>
          </a:schemeClr>
        </a:solidFill>
        <a:ln>
          <a:noFill/>
        </a:ln>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400" b="1">
              <a:solidFill>
                <a:schemeClr val="bg2">
                  <a:lumMod val="10000"/>
                </a:schemeClr>
              </a:solidFill>
              <a:latin typeface="+mj-lt"/>
            </a:rPr>
            <a:t>MINI</a:t>
          </a:r>
          <a:r>
            <a:rPr lang="en-US" sz="2400" b="1" baseline="0">
              <a:solidFill>
                <a:schemeClr val="bg2">
                  <a:lumMod val="10000"/>
                </a:schemeClr>
              </a:solidFill>
              <a:latin typeface="+mj-lt"/>
            </a:rPr>
            <a:t> SALES PERFORMANCE DASHBOARD</a:t>
          </a:r>
          <a:endParaRPr lang="en-US" sz="2400" b="1">
            <a:solidFill>
              <a:schemeClr val="bg2">
                <a:lumMod val="10000"/>
              </a:schemeClr>
            </a:solidFill>
            <a:latin typeface="+mj-lt"/>
          </a:endParaRPr>
        </a:p>
      </xdr:txBody>
    </xdr:sp>
    <xdr:clientData/>
  </xdr:twoCellAnchor>
  <xdr:twoCellAnchor>
    <xdr:from>
      <xdr:col>1</xdr:col>
      <xdr:colOff>647699</xdr:colOff>
      <xdr:row>3</xdr:row>
      <xdr:rowOff>0</xdr:rowOff>
    </xdr:from>
    <xdr:to>
      <xdr:col>3</xdr:col>
      <xdr:colOff>0</xdr:colOff>
      <xdr:row>6</xdr:row>
      <xdr:rowOff>0</xdr:rowOff>
    </xdr:to>
    <xdr:sp macro="" textlink="">
      <xdr:nvSpPr>
        <xdr:cNvPr id="10" name="Rectangle: Rounded Corners 9">
          <a:extLst>
            <a:ext uri="{FF2B5EF4-FFF2-40B4-BE49-F238E27FC236}">
              <a16:creationId xmlns:a16="http://schemas.microsoft.com/office/drawing/2014/main" id="{E288F9BE-ED00-57C3-84AF-386772547EAB}"/>
            </a:ext>
          </a:extLst>
        </xdr:cNvPr>
        <xdr:cNvSpPr/>
      </xdr:nvSpPr>
      <xdr:spPr>
        <a:xfrm>
          <a:off x="1943099" y="676275"/>
          <a:ext cx="1676401" cy="5715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100" b="1"/>
            <a:t>TOTAL SALES</a:t>
          </a:r>
        </a:p>
        <a:p>
          <a:pPr algn="ctr"/>
          <a:r>
            <a:rPr lang="en-US" sz="1400" b="1">
              <a:solidFill>
                <a:schemeClr val="bg2">
                  <a:lumMod val="10000"/>
                </a:schemeClr>
              </a:solidFill>
            </a:rPr>
            <a:t>25050</a:t>
          </a:r>
        </a:p>
      </xdr:txBody>
    </xdr:sp>
    <xdr:clientData/>
  </xdr:twoCellAnchor>
  <xdr:twoCellAnchor>
    <xdr:from>
      <xdr:col>4</xdr:col>
      <xdr:colOff>242887</xdr:colOff>
      <xdr:row>3</xdr:row>
      <xdr:rowOff>0</xdr:rowOff>
    </xdr:from>
    <xdr:to>
      <xdr:col>7</xdr:col>
      <xdr:colOff>90488</xdr:colOff>
      <xdr:row>6</xdr:row>
      <xdr:rowOff>0</xdr:rowOff>
    </xdr:to>
    <xdr:sp macro="" textlink="">
      <xdr:nvSpPr>
        <xdr:cNvPr id="11" name="Rectangle: Rounded Corners 10">
          <a:extLst>
            <a:ext uri="{FF2B5EF4-FFF2-40B4-BE49-F238E27FC236}">
              <a16:creationId xmlns:a16="http://schemas.microsoft.com/office/drawing/2014/main" id="{0FA62B59-1EAB-47E5-4BFC-F6DC0AD5939A}"/>
            </a:ext>
          </a:extLst>
        </xdr:cNvPr>
        <xdr:cNvSpPr/>
      </xdr:nvSpPr>
      <xdr:spPr>
        <a:xfrm>
          <a:off x="4471987" y="676275"/>
          <a:ext cx="1676401" cy="5715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100" b="1"/>
            <a:t>BEST PRODUCT</a:t>
          </a:r>
        </a:p>
        <a:p>
          <a:pPr algn="ctr"/>
          <a:r>
            <a:rPr lang="en-US" sz="1200" b="1">
              <a:solidFill>
                <a:schemeClr val="bg2">
                  <a:lumMod val="10000"/>
                </a:schemeClr>
              </a:solidFill>
            </a:rPr>
            <a:t>SHAMPOO</a:t>
          </a:r>
        </a:p>
      </xdr:txBody>
    </xdr:sp>
    <xdr:clientData/>
  </xdr:twoCellAnchor>
  <xdr:twoCellAnchor>
    <xdr:from>
      <xdr:col>8</xdr:col>
      <xdr:colOff>333374</xdr:colOff>
      <xdr:row>3</xdr:row>
      <xdr:rowOff>0</xdr:rowOff>
    </xdr:from>
    <xdr:to>
      <xdr:col>10</xdr:col>
      <xdr:colOff>0</xdr:colOff>
      <xdr:row>6</xdr:row>
      <xdr:rowOff>0</xdr:rowOff>
    </xdr:to>
    <xdr:sp macro="" textlink="">
      <xdr:nvSpPr>
        <xdr:cNvPr id="12" name="Rectangle: Rounded Corners 11">
          <a:extLst>
            <a:ext uri="{FF2B5EF4-FFF2-40B4-BE49-F238E27FC236}">
              <a16:creationId xmlns:a16="http://schemas.microsoft.com/office/drawing/2014/main" id="{0650EA4D-EC52-F0AC-5089-507836D101AB}"/>
            </a:ext>
          </a:extLst>
        </xdr:cNvPr>
        <xdr:cNvSpPr/>
      </xdr:nvSpPr>
      <xdr:spPr>
        <a:xfrm>
          <a:off x="7000874" y="676275"/>
          <a:ext cx="1676401" cy="5715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100" b="1"/>
            <a:t>BEST REGION</a:t>
          </a:r>
        </a:p>
        <a:p>
          <a:pPr algn="ctr"/>
          <a:r>
            <a:rPr lang="en-US" sz="1400" b="1">
              <a:solidFill>
                <a:schemeClr val="bg2">
                  <a:lumMod val="10000"/>
                </a:schemeClr>
              </a:solidFill>
            </a:rPr>
            <a:t>NAIROBI</a:t>
          </a:r>
        </a:p>
      </xdr:txBody>
    </xdr:sp>
    <xdr:clientData/>
  </xdr:twoCellAnchor>
  <xdr:twoCellAnchor>
    <xdr:from>
      <xdr:col>0</xdr:col>
      <xdr:colOff>85725</xdr:colOff>
      <xdr:row>0</xdr:row>
      <xdr:rowOff>152400</xdr:rowOff>
    </xdr:from>
    <xdr:to>
      <xdr:col>0</xdr:col>
      <xdr:colOff>1133475</xdr:colOff>
      <xdr:row>1</xdr:row>
      <xdr:rowOff>247650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BB771698-C9FF-6C00-1ED6-447EFE5FFACC}"/>
            </a:ext>
          </a:extLst>
        </xdr:cNvPr>
        <xdr:cNvSpPr/>
      </xdr:nvSpPr>
      <xdr:spPr>
        <a:xfrm>
          <a:off x="85725" y="15240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0</xdr:col>
      <xdr:colOff>85725</xdr:colOff>
      <xdr:row>2</xdr:row>
      <xdr:rowOff>142875</xdr:rowOff>
    </xdr:from>
    <xdr:to>
      <xdr:col>0</xdr:col>
      <xdr:colOff>1133475</xdr:colOff>
      <xdr:row>4</xdr:row>
      <xdr:rowOff>47625</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75FA159E-CEBA-1C7F-BB12-C7E1131D99BD}"/>
            </a:ext>
          </a:extLst>
        </xdr:cNvPr>
        <xdr:cNvSpPr/>
      </xdr:nvSpPr>
      <xdr:spPr>
        <a:xfrm>
          <a:off x="85725" y="62865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Sales_data</a:t>
          </a:r>
        </a:p>
      </xdr:txBody>
    </xdr:sp>
    <xdr:clientData/>
  </xdr:twoCellAnchor>
  <xdr:twoCellAnchor>
    <xdr:from>
      <xdr:col>0</xdr:col>
      <xdr:colOff>57150</xdr:colOff>
      <xdr:row>7</xdr:row>
      <xdr:rowOff>142875</xdr:rowOff>
    </xdr:from>
    <xdr:to>
      <xdr:col>0</xdr:col>
      <xdr:colOff>1104900</xdr:colOff>
      <xdr:row>9</xdr:row>
      <xdr:rowOff>47625</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6E96D4CD-BFD5-372A-FD9D-ABFEEB116BC6}"/>
            </a:ext>
          </a:extLst>
        </xdr:cNvPr>
        <xdr:cNvSpPr/>
      </xdr:nvSpPr>
      <xdr:spPr>
        <a:xfrm>
          <a:off x="57150" y="158115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Contact</a:t>
          </a: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76200</xdr:colOff>
      <xdr:row>5</xdr:row>
      <xdr:rowOff>47625</xdr:rowOff>
    </xdr:from>
    <xdr:to>
      <xdr:col>0</xdr:col>
      <xdr:colOff>1123950</xdr:colOff>
      <xdr:row>6</xdr:row>
      <xdr:rowOff>142875</xdr:rowOff>
    </xdr:to>
    <xdr:sp macro="" textlink="">
      <xdr:nvSpPr>
        <xdr:cNvPr id="18" name="Rectangle: Rounded Corners 17">
          <a:hlinkClick xmlns:r="http://schemas.openxmlformats.org/officeDocument/2006/relationships" r:id="rId8"/>
          <a:extLst>
            <a:ext uri="{FF2B5EF4-FFF2-40B4-BE49-F238E27FC236}">
              <a16:creationId xmlns:a16="http://schemas.microsoft.com/office/drawing/2014/main" id="{2DE8618E-F205-D5E2-6FD8-5D8F7EECA9D5}"/>
            </a:ext>
          </a:extLst>
        </xdr:cNvPr>
        <xdr:cNvSpPr/>
      </xdr:nvSpPr>
      <xdr:spPr>
        <a:xfrm>
          <a:off x="76200" y="110490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152400</xdr:rowOff>
    </xdr:from>
    <xdr:to>
      <xdr:col>0</xdr:col>
      <xdr:colOff>1133475</xdr:colOff>
      <xdr:row>1</xdr:row>
      <xdr:rowOff>247650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E1AD9C1D-9E52-427C-8BB4-30DD06C7049D}"/>
            </a:ext>
          </a:extLst>
        </xdr:cNvPr>
        <xdr:cNvSpPr/>
      </xdr:nvSpPr>
      <xdr:spPr>
        <a:xfrm>
          <a:off x="85725" y="15240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0</xdr:col>
      <xdr:colOff>85725</xdr:colOff>
      <xdr:row>2</xdr:row>
      <xdr:rowOff>142875</xdr:rowOff>
    </xdr:from>
    <xdr:to>
      <xdr:col>0</xdr:col>
      <xdr:colOff>1133475</xdr:colOff>
      <xdr:row>4</xdr:row>
      <xdr:rowOff>47625</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EE184055-C6FA-4157-95D3-5CC20DDBB9CB}"/>
            </a:ext>
          </a:extLst>
        </xdr:cNvPr>
        <xdr:cNvSpPr/>
      </xdr:nvSpPr>
      <xdr:spPr>
        <a:xfrm>
          <a:off x="85725" y="62865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Sales_data</a:t>
          </a:r>
        </a:p>
      </xdr:txBody>
    </xdr:sp>
    <xdr:clientData/>
  </xdr:twoCellAnchor>
  <xdr:twoCellAnchor>
    <xdr:from>
      <xdr:col>0</xdr:col>
      <xdr:colOff>57150</xdr:colOff>
      <xdr:row>7</xdr:row>
      <xdr:rowOff>142875</xdr:rowOff>
    </xdr:from>
    <xdr:to>
      <xdr:col>0</xdr:col>
      <xdr:colOff>1104900</xdr:colOff>
      <xdr:row>9</xdr:row>
      <xdr:rowOff>47625</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4160A7D4-26D4-4382-88B3-C73BA1A48701}"/>
            </a:ext>
          </a:extLst>
        </xdr:cNvPr>
        <xdr:cNvSpPr/>
      </xdr:nvSpPr>
      <xdr:spPr>
        <a:xfrm>
          <a:off x="57150" y="158115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Contact</a:t>
          </a: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76200</xdr:colOff>
      <xdr:row>5</xdr:row>
      <xdr:rowOff>47625</xdr:rowOff>
    </xdr:from>
    <xdr:to>
      <xdr:col>0</xdr:col>
      <xdr:colOff>1123950</xdr:colOff>
      <xdr:row>6</xdr:row>
      <xdr:rowOff>142875</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B95E542E-7EC8-4443-B64A-1AF714850CA6}"/>
            </a:ext>
          </a:extLst>
        </xdr:cNvPr>
        <xdr:cNvSpPr/>
      </xdr:nvSpPr>
      <xdr:spPr>
        <a:xfrm>
          <a:off x="76200" y="110490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152400</xdr:rowOff>
    </xdr:from>
    <xdr:to>
      <xdr:col>0</xdr:col>
      <xdr:colOff>1133475</xdr:colOff>
      <xdr:row>1</xdr:row>
      <xdr:rowOff>247650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3476F532-93ED-4B52-B0D2-FBF19C5EC629}"/>
            </a:ext>
          </a:extLst>
        </xdr:cNvPr>
        <xdr:cNvSpPr/>
      </xdr:nvSpPr>
      <xdr:spPr>
        <a:xfrm>
          <a:off x="85725" y="15240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0</xdr:col>
      <xdr:colOff>85725</xdr:colOff>
      <xdr:row>2</xdr:row>
      <xdr:rowOff>142875</xdr:rowOff>
    </xdr:from>
    <xdr:to>
      <xdr:col>0</xdr:col>
      <xdr:colOff>1133475</xdr:colOff>
      <xdr:row>4</xdr:row>
      <xdr:rowOff>47625</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1F8790D0-CB3E-4954-A386-8A8B7A3DD1DD}"/>
            </a:ext>
          </a:extLst>
        </xdr:cNvPr>
        <xdr:cNvSpPr/>
      </xdr:nvSpPr>
      <xdr:spPr>
        <a:xfrm>
          <a:off x="85725" y="62865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Sales_data</a:t>
          </a:r>
        </a:p>
      </xdr:txBody>
    </xdr:sp>
    <xdr:clientData/>
  </xdr:twoCellAnchor>
  <xdr:twoCellAnchor>
    <xdr:from>
      <xdr:col>0</xdr:col>
      <xdr:colOff>57150</xdr:colOff>
      <xdr:row>7</xdr:row>
      <xdr:rowOff>142875</xdr:rowOff>
    </xdr:from>
    <xdr:to>
      <xdr:col>0</xdr:col>
      <xdr:colOff>1104900</xdr:colOff>
      <xdr:row>9</xdr:row>
      <xdr:rowOff>47625</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D685F855-F8FA-4A2A-907B-1268CCE075D4}"/>
            </a:ext>
          </a:extLst>
        </xdr:cNvPr>
        <xdr:cNvSpPr/>
      </xdr:nvSpPr>
      <xdr:spPr>
        <a:xfrm>
          <a:off x="57150" y="158115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Contact</a:t>
          </a: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76200</xdr:colOff>
      <xdr:row>5</xdr:row>
      <xdr:rowOff>47625</xdr:rowOff>
    </xdr:from>
    <xdr:to>
      <xdr:col>0</xdr:col>
      <xdr:colOff>1123950</xdr:colOff>
      <xdr:row>6</xdr:row>
      <xdr:rowOff>142875</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DA4C3A5-D90E-4022-B6DC-0AA6E7D821CC}"/>
            </a:ext>
          </a:extLst>
        </xdr:cNvPr>
        <xdr:cNvSpPr/>
      </xdr:nvSpPr>
      <xdr:spPr>
        <a:xfrm>
          <a:off x="76200" y="1104900"/>
          <a:ext cx="1047750" cy="2857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4.767806365744" createdVersion="8" refreshedVersion="8" minRefreshableVersion="3" recordCount="10" xr:uid="{27889FC0-3922-43CB-8A9F-FE7EF4BE288A}">
  <cacheSource type="worksheet">
    <worksheetSource ref="B1:I11" sheet="Sales_data"/>
  </cacheSource>
  <cacheFields count="8">
    <cacheField name="Date" numFmtId="14">
      <sharedItems containsSemiMixedTypes="0" containsNonDate="0" containsDate="1" containsString="0" minDate="2024-01-03T00:00:00" maxDate="2024-01-26T00:00:00" count="10">
        <d v="2024-01-03T00:00:00"/>
        <d v="2024-01-05T00:00:00"/>
        <d v="2024-01-07T00:00:00"/>
        <d v="2024-01-10T00:00:00"/>
        <d v="2024-01-12T00:00:00"/>
        <d v="2024-01-15T00:00:00"/>
        <d v="2024-01-18T00:00:00"/>
        <d v="2024-01-20T00:00:00"/>
        <d v="2024-01-22T00:00:00"/>
        <d v="2024-01-25T00:00:00"/>
      </sharedItems>
    </cacheField>
    <cacheField name="Product" numFmtId="0">
      <sharedItems count="4">
        <s v="Shampoo"/>
        <s v="Conditioner"/>
        <s v="Soap"/>
        <s v="Detergent"/>
      </sharedItems>
    </cacheField>
    <cacheField name="Category" numFmtId="0">
      <sharedItems count="2">
        <s v="Personal Care"/>
        <s v="Home Care"/>
      </sharedItems>
    </cacheField>
    <cacheField name="Region" numFmtId="0">
      <sharedItems count="3">
        <s v="Nairobi"/>
        <s v="Kisumu"/>
        <s v="Nakuru"/>
      </sharedItems>
    </cacheField>
    <cacheField name="Sales_Rep" numFmtId="0">
      <sharedItems count="4">
        <s v="Alice"/>
        <s v="John"/>
        <s v="Mary"/>
        <s v="Peter"/>
      </sharedItems>
    </cacheField>
    <cacheField name="Units_Sold" numFmtId="0">
      <sharedItems containsSemiMixedTypes="0" containsString="0" containsNumber="1" containsInteger="1" minValue="7" maxValue="20"/>
    </cacheField>
    <cacheField name="Unit_Price" numFmtId="0">
      <sharedItems containsSemiMixedTypes="0" containsString="0" containsNumber="1" containsInteger="1" minValue="100" maxValue="350"/>
    </cacheField>
    <cacheField name="Total sales" numFmtId="0">
      <sharedItems containsSemiMixedTypes="0" containsString="0" containsNumber="1" containsInteger="1" minValue="1500" maxValue="3300"/>
    </cacheField>
  </cacheFields>
  <extLst>
    <ext xmlns:x14="http://schemas.microsoft.com/office/spreadsheetml/2009/9/main" uri="{725AE2AE-9491-48be-B2B4-4EB974FC3084}">
      <x14:pivotCacheDefinition pivotCacheId="485362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n v="10"/>
    <n v="300"/>
    <n v="3000"/>
  </r>
  <r>
    <x v="1"/>
    <x v="1"/>
    <x v="0"/>
    <x v="1"/>
    <x v="1"/>
    <n v="8"/>
    <n v="350"/>
    <n v="2800"/>
  </r>
  <r>
    <x v="2"/>
    <x v="2"/>
    <x v="0"/>
    <x v="0"/>
    <x v="2"/>
    <n v="15"/>
    <n v="100"/>
    <n v="1500"/>
  </r>
  <r>
    <x v="3"/>
    <x v="3"/>
    <x v="1"/>
    <x v="2"/>
    <x v="3"/>
    <n v="12"/>
    <n v="250"/>
    <n v="3000"/>
  </r>
  <r>
    <x v="4"/>
    <x v="0"/>
    <x v="0"/>
    <x v="1"/>
    <x v="0"/>
    <n v="9"/>
    <n v="300"/>
    <n v="2700"/>
  </r>
  <r>
    <x v="5"/>
    <x v="2"/>
    <x v="0"/>
    <x v="0"/>
    <x v="1"/>
    <n v="20"/>
    <n v="100"/>
    <n v="2000"/>
  </r>
  <r>
    <x v="6"/>
    <x v="3"/>
    <x v="1"/>
    <x v="2"/>
    <x v="2"/>
    <n v="10"/>
    <n v="250"/>
    <n v="2500"/>
  </r>
  <r>
    <x v="7"/>
    <x v="1"/>
    <x v="0"/>
    <x v="0"/>
    <x v="3"/>
    <n v="7"/>
    <n v="350"/>
    <n v="2450"/>
  </r>
  <r>
    <x v="8"/>
    <x v="0"/>
    <x v="0"/>
    <x v="2"/>
    <x v="0"/>
    <n v="11"/>
    <n v="300"/>
    <n v="3300"/>
  </r>
  <r>
    <x v="9"/>
    <x v="2"/>
    <x v="0"/>
    <x v="1"/>
    <x v="2"/>
    <n v="18"/>
    <n v="100"/>
    <n v="1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B6B51-1413-423F-B37E-DDD6853E7398}" name="Unit-Sold by Sales-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C16" firstHeaderRow="1" firstDataRow="1" firstDataCol="1"/>
  <pivotFields count="8">
    <pivotField numFmtId="14" showAll="0"/>
    <pivotField showAll="0">
      <items count="5">
        <item x="1"/>
        <item x="3"/>
        <item x="0"/>
        <item x="2"/>
        <item t="default"/>
      </items>
    </pivotField>
    <pivotField showAll="0"/>
    <pivotField showAll="0">
      <items count="4">
        <item x="1"/>
        <item x="0"/>
        <item x="2"/>
        <item t="default"/>
      </items>
    </pivotField>
    <pivotField axis="axisRow" showAll="0">
      <items count="5">
        <item x="0"/>
        <item x="1"/>
        <item x="2"/>
        <item x="3"/>
        <item t="default"/>
      </items>
    </pivotField>
    <pivotField dataField="1" showAll="0"/>
    <pivotField showAll="0"/>
    <pivotField showAll="0"/>
  </pivotFields>
  <rowFields count="1">
    <field x="4"/>
  </rowFields>
  <rowItems count="5">
    <i>
      <x/>
    </i>
    <i>
      <x v="1"/>
    </i>
    <i>
      <x v="2"/>
    </i>
    <i>
      <x v="3"/>
    </i>
    <i t="grand">
      <x/>
    </i>
  </rowItems>
  <colItems count="1">
    <i/>
  </colItems>
  <dataFields count="1">
    <dataField name="Sum of Units_Sold" fld="5"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F2E3E-BB00-4D1D-BF7F-FE57613DE346}"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3:C6" firstHeaderRow="1" firstDataRow="1" firstDataCol="1"/>
  <pivotFields count="8">
    <pivotField numFmtId="14" showAll="0"/>
    <pivotField showAll="0">
      <items count="5">
        <item x="1"/>
        <item x="3"/>
        <item x="0"/>
        <item x="2"/>
        <item t="default"/>
      </items>
    </pivotField>
    <pivotField axis="axisRow" showAll="0">
      <items count="3">
        <item x="1"/>
        <item x="0"/>
        <item t="default"/>
      </items>
    </pivotField>
    <pivotField showAll="0">
      <items count="4">
        <item x="1"/>
        <item x="0"/>
        <item x="2"/>
        <item t="default"/>
      </items>
    </pivotField>
    <pivotField showAll="0">
      <items count="5">
        <item x="0"/>
        <item x="1"/>
        <item x="2"/>
        <item x="3"/>
        <item t="default"/>
      </items>
    </pivotField>
    <pivotField showAll="0"/>
    <pivotField showAll="0"/>
    <pivotField dataField="1" showAll="0"/>
  </pivotFields>
  <rowFields count="1">
    <field x="2"/>
  </rowFields>
  <rowItems count="3">
    <i>
      <x/>
    </i>
    <i>
      <x v="1"/>
    </i>
    <i t="grand">
      <x/>
    </i>
  </rowItems>
  <colItems count="1">
    <i/>
  </colItems>
  <dataFields count="1">
    <dataField name="Sum of Total sales" fld="7" baseField="0" baseItem="0"/>
  </dataFields>
  <chartFormats count="3">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2" count="1" selected="0">
            <x v="0"/>
          </reference>
        </references>
      </pivotArea>
    </chartFormat>
    <chartFormat chart="16"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C78CD-2795-4E48-96D6-66E62D7F5C78}" name="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3:J18" firstHeaderRow="1" firstDataRow="1" firstDataCol="1"/>
  <pivotFields count="8">
    <pivotField numFmtId="14" showAll="0"/>
    <pivotField axis="axisRow" showAll="0">
      <items count="5">
        <item x="1"/>
        <item x="3"/>
        <item x="0"/>
        <item x="2"/>
        <item t="default"/>
      </items>
    </pivotField>
    <pivotField showAll="0"/>
    <pivotField showAll="0">
      <items count="4">
        <item x="1"/>
        <item x="0"/>
        <item x="2"/>
        <item t="default"/>
      </items>
    </pivotField>
    <pivotField showAll="0">
      <items count="5">
        <item x="0"/>
        <item x="1"/>
        <item x="2"/>
        <item x="3"/>
        <item t="default"/>
      </items>
    </pivotField>
    <pivotField showAll="0"/>
    <pivotField showAll="0"/>
    <pivotField dataField="1" showAll="0"/>
  </pivotFields>
  <rowFields count="1">
    <field x="1"/>
  </rowFields>
  <rowItems count="5">
    <i>
      <x/>
    </i>
    <i>
      <x v="1"/>
    </i>
    <i>
      <x v="2"/>
    </i>
    <i>
      <x v="3"/>
    </i>
    <i t="grand">
      <x/>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F5AAC1-E43B-45A2-8554-13FB6999AEEA}"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J6" firstHeaderRow="1" firstDataRow="1" firstDataCol="1"/>
  <pivotFields count="8">
    <pivotField numFmtId="14" showAll="0"/>
    <pivotField showAll="0">
      <items count="5">
        <item x="1"/>
        <item x="3"/>
        <item x="0"/>
        <item x="2"/>
        <item t="default"/>
      </items>
    </pivotField>
    <pivotField showAll="0"/>
    <pivotField axis="axisRow" showAll="0">
      <items count="4">
        <item x="1"/>
        <item x="0"/>
        <item x="2"/>
        <item t="default"/>
      </items>
    </pivotField>
    <pivotField showAll="0">
      <items count="5">
        <item x="0"/>
        <item x="1"/>
        <item x="2"/>
        <item x="3"/>
        <item t="default"/>
      </items>
    </pivotField>
    <pivotField showAll="0"/>
    <pivotField showAll="0"/>
    <pivotField dataField="1" showAll="0"/>
  </pivotFields>
  <rowFields count="1">
    <field x="3"/>
  </rowFields>
  <rowItems count="4">
    <i>
      <x/>
    </i>
    <i>
      <x v="1"/>
    </i>
    <i>
      <x v="2"/>
    </i>
    <i t="grand">
      <x/>
    </i>
  </rowItems>
  <colItems count="1">
    <i/>
  </colItems>
  <dataFields count="1">
    <dataField name="Sum of Total sales" fld="7"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58A9058-C075-496E-ACDF-37145122E16B}" sourceName="Product">
  <pivotTables>
    <pivotTable tabId="3" name="sales by Product"/>
    <pivotTable tabId="3" name="Sales by Category"/>
    <pivotTable tabId="3" name="Sales by Region"/>
    <pivotTable tabId="3" name="Unit-Sold by Sales-Rep"/>
  </pivotTables>
  <data>
    <tabular pivotCacheId="485362574">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087B15-7A0F-49D2-857D-BFC26D16C243}" sourceName="Region">
  <pivotTables>
    <pivotTable tabId="3" name="Sales by Region"/>
    <pivotTable tabId="3" name="Sales by Category"/>
    <pivotTable tabId="3" name="sales by Product"/>
    <pivotTable tabId="3" name="Unit-Sold by Sales-Rep"/>
  </pivotTables>
  <data>
    <tabular pivotCacheId="48536257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C8FDEDB-214C-451E-BCA4-D7DA146037BA}" cache="Slicer_Product" caption="Product" style="SlicerStyleDark3" rowHeight="241300"/>
  <slicer name="Region" xr10:uid="{2F888E8A-6D54-433A-85BB-0E7EEC77A009}" cache="Slicer_Region" caption="Region"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E3BC-6C40-4184-9D01-36C70816BE19}">
  <dimension ref="A1:E3"/>
  <sheetViews>
    <sheetView showGridLines="0" workbookViewId="0"/>
  </sheetViews>
  <sheetFormatPr defaultRowHeight="15" x14ac:dyDescent="0.25"/>
  <cols>
    <col min="1" max="1" width="19.42578125" style="10" customWidth="1"/>
    <col min="2" max="3" width="17.42578125" bestFit="1" customWidth="1"/>
    <col min="9" max="9" width="13.140625" bestFit="1" customWidth="1"/>
    <col min="10" max="10" width="17" bestFit="1" customWidth="1"/>
  </cols>
  <sheetData>
    <row r="1" spans="2:5" x14ac:dyDescent="0.25">
      <c r="B1" s="5"/>
      <c r="C1" s="5"/>
    </row>
    <row r="2" spans="2:5" ht="23.25" x14ac:dyDescent="0.25">
      <c r="B2" s="6"/>
      <c r="C2" s="6"/>
      <c r="D2" s="7"/>
      <c r="E2" s="8"/>
    </row>
    <row r="3" spans="2:5" x14ac:dyDescent="0.25">
      <c r="B3" s="9"/>
      <c r="C3" s="9"/>
      <c r="D3" s="9"/>
      <c r="E3"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22C3-D6D2-4506-89DE-29BE57B7EC47}">
  <dimension ref="A2:J18"/>
  <sheetViews>
    <sheetView workbookViewId="0">
      <selection sqref="A1:A1048576"/>
    </sheetView>
  </sheetViews>
  <sheetFormatPr defaultRowHeight="15" x14ac:dyDescent="0.25"/>
  <cols>
    <col min="1" max="1" width="19.42578125" style="10" customWidth="1"/>
    <col min="2" max="2" width="13.28515625" bestFit="1" customWidth="1"/>
    <col min="3" max="3" width="17" bestFit="1" customWidth="1"/>
    <col min="9" max="9" width="13.140625" bestFit="1" customWidth="1"/>
    <col min="10" max="10" width="17" bestFit="1" customWidth="1"/>
  </cols>
  <sheetData>
    <row r="2" spans="2:10" x14ac:dyDescent="0.25">
      <c r="I2" s="3" t="s">
        <v>21</v>
      </c>
      <c r="J2" t="s">
        <v>23</v>
      </c>
    </row>
    <row r="3" spans="2:10" x14ac:dyDescent="0.25">
      <c r="B3" s="3" t="s">
        <v>21</v>
      </c>
      <c r="C3" t="s">
        <v>23</v>
      </c>
      <c r="I3" s="4" t="s">
        <v>12</v>
      </c>
      <c r="J3" s="11">
        <v>7300</v>
      </c>
    </row>
    <row r="4" spans="2:10" x14ac:dyDescent="0.25">
      <c r="B4" s="4" t="s">
        <v>17</v>
      </c>
      <c r="C4" s="11">
        <v>5500</v>
      </c>
      <c r="I4" s="4" t="s">
        <v>9</v>
      </c>
      <c r="J4" s="11">
        <v>8950</v>
      </c>
    </row>
    <row r="5" spans="2:10" x14ac:dyDescent="0.25">
      <c r="B5" s="4" t="s">
        <v>8</v>
      </c>
      <c r="C5" s="11">
        <v>19550</v>
      </c>
      <c r="I5" s="4" t="s">
        <v>18</v>
      </c>
      <c r="J5" s="11">
        <v>8800</v>
      </c>
    </row>
    <row r="6" spans="2:10" x14ac:dyDescent="0.25">
      <c r="B6" s="4" t="s">
        <v>22</v>
      </c>
      <c r="C6" s="11">
        <v>25050</v>
      </c>
      <c r="I6" s="4" t="s">
        <v>22</v>
      </c>
      <c r="J6" s="11">
        <v>25050</v>
      </c>
    </row>
    <row r="11" spans="2:10" x14ac:dyDescent="0.25">
      <c r="B11" s="3" t="s">
        <v>21</v>
      </c>
      <c r="C11" t="s">
        <v>24</v>
      </c>
    </row>
    <row r="12" spans="2:10" x14ac:dyDescent="0.25">
      <c r="B12" s="4" t="s">
        <v>10</v>
      </c>
      <c r="C12" s="11">
        <v>30</v>
      </c>
    </row>
    <row r="13" spans="2:10" x14ac:dyDescent="0.25">
      <c r="B13" s="4" t="s">
        <v>13</v>
      </c>
      <c r="C13" s="11">
        <v>28</v>
      </c>
      <c r="I13" s="3" t="s">
        <v>21</v>
      </c>
      <c r="J13" t="s">
        <v>23</v>
      </c>
    </row>
    <row r="14" spans="2:10" x14ac:dyDescent="0.25">
      <c r="B14" s="4" t="s">
        <v>15</v>
      </c>
      <c r="C14" s="11">
        <v>43</v>
      </c>
      <c r="I14" s="4" t="s">
        <v>11</v>
      </c>
      <c r="J14" s="11">
        <v>5250</v>
      </c>
    </row>
    <row r="15" spans="2:10" x14ac:dyDescent="0.25">
      <c r="B15" s="4" t="s">
        <v>19</v>
      </c>
      <c r="C15" s="11">
        <v>19</v>
      </c>
      <c r="I15" s="4" t="s">
        <v>16</v>
      </c>
      <c r="J15" s="11">
        <v>5500</v>
      </c>
    </row>
    <row r="16" spans="2:10" x14ac:dyDescent="0.25">
      <c r="B16" s="4" t="s">
        <v>22</v>
      </c>
      <c r="C16" s="11">
        <v>120</v>
      </c>
      <c r="I16" s="4" t="s">
        <v>7</v>
      </c>
      <c r="J16" s="11">
        <v>9000</v>
      </c>
    </row>
    <row r="17" spans="9:10" x14ac:dyDescent="0.25">
      <c r="I17" s="4" t="s">
        <v>14</v>
      </c>
      <c r="J17" s="11">
        <v>5300</v>
      </c>
    </row>
    <row r="18" spans="9:10" x14ac:dyDescent="0.25">
      <c r="I18" s="4" t="s">
        <v>22</v>
      </c>
      <c r="J18" s="11">
        <v>25050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E340-5404-4CFD-88E1-2A1232816B0E}">
  <dimension ref="A1:I11"/>
  <sheetViews>
    <sheetView tabSelected="1" workbookViewId="0"/>
  </sheetViews>
  <sheetFormatPr defaultRowHeight="15" x14ac:dyDescent="0.25"/>
  <cols>
    <col min="1" max="1" width="19.42578125" style="10" customWidth="1"/>
    <col min="2" max="2" width="10.7109375" bestFit="1" customWidth="1"/>
    <col min="3" max="3" width="11.5703125" bestFit="1" customWidth="1"/>
    <col min="4" max="4" width="13.28515625" bestFit="1" customWidth="1"/>
    <col min="5" max="5" width="7.5703125" bestFit="1" customWidth="1"/>
    <col min="6" max="6" width="10" bestFit="1" customWidth="1"/>
    <col min="7" max="7" width="10.42578125" bestFit="1" customWidth="1"/>
    <col min="8" max="8" width="10.140625" bestFit="1" customWidth="1"/>
  </cols>
  <sheetData>
    <row r="1" spans="2:9" ht="15.75" x14ac:dyDescent="0.25">
      <c r="B1" s="1" t="s">
        <v>0</v>
      </c>
      <c r="C1" t="s">
        <v>1</v>
      </c>
      <c r="D1" t="s">
        <v>2</v>
      </c>
      <c r="E1" t="s">
        <v>3</v>
      </c>
      <c r="F1" t="s">
        <v>4</v>
      </c>
      <c r="G1" t="s">
        <v>5</v>
      </c>
      <c r="H1" t="s">
        <v>6</v>
      </c>
      <c r="I1" t="s">
        <v>20</v>
      </c>
    </row>
    <row r="2" spans="2:9" ht="15.75" x14ac:dyDescent="0.25">
      <c r="B2" s="2">
        <v>45294</v>
      </c>
      <c r="C2" t="s">
        <v>7</v>
      </c>
      <c r="D2" t="s">
        <v>8</v>
      </c>
      <c r="E2" t="s">
        <v>9</v>
      </c>
      <c r="F2" t="s">
        <v>10</v>
      </c>
      <c r="G2">
        <v>10</v>
      </c>
      <c r="H2">
        <v>300</v>
      </c>
      <c r="I2">
        <f>G2*H2</f>
        <v>3000</v>
      </c>
    </row>
    <row r="3" spans="2:9" ht="15.75" x14ac:dyDescent="0.25">
      <c r="B3" s="2">
        <v>45296</v>
      </c>
      <c r="C3" t="s">
        <v>11</v>
      </c>
      <c r="D3" t="s">
        <v>8</v>
      </c>
      <c r="E3" t="s">
        <v>12</v>
      </c>
      <c r="F3" t="s">
        <v>13</v>
      </c>
      <c r="G3">
        <v>8</v>
      </c>
      <c r="H3">
        <v>350</v>
      </c>
      <c r="I3">
        <f t="shared" ref="I3:I11" si="0">G3*H3</f>
        <v>2800</v>
      </c>
    </row>
    <row r="4" spans="2:9" ht="15.75" x14ac:dyDescent="0.25">
      <c r="B4" s="2">
        <v>45298</v>
      </c>
      <c r="C4" t="s">
        <v>14</v>
      </c>
      <c r="D4" t="s">
        <v>8</v>
      </c>
      <c r="E4" t="s">
        <v>9</v>
      </c>
      <c r="F4" t="s">
        <v>15</v>
      </c>
      <c r="G4">
        <v>15</v>
      </c>
      <c r="H4">
        <v>100</v>
      </c>
      <c r="I4">
        <f t="shared" si="0"/>
        <v>1500</v>
      </c>
    </row>
    <row r="5" spans="2:9" ht="15.75" x14ac:dyDescent="0.25">
      <c r="B5" s="2">
        <v>45301</v>
      </c>
      <c r="C5" t="s">
        <v>16</v>
      </c>
      <c r="D5" t="s">
        <v>17</v>
      </c>
      <c r="E5" t="s">
        <v>18</v>
      </c>
      <c r="F5" t="s">
        <v>19</v>
      </c>
      <c r="G5">
        <v>12</v>
      </c>
      <c r="H5">
        <v>250</v>
      </c>
      <c r="I5">
        <f t="shared" si="0"/>
        <v>3000</v>
      </c>
    </row>
    <row r="6" spans="2:9" ht="15.75" x14ac:dyDescent="0.25">
      <c r="B6" s="2">
        <v>45303</v>
      </c>
      <c r="C6" t="s">
        <v>7</v>
      </c>
      <c r="D6" t="s">
        <v>8</v>
      </c>
      <c r="E6" t="s">
        <v>12</v>
      </c>
      <c r="F6" t="s">
        <v>10</v>
      </c>
      <c r="G6">
        <v>9</v>
      </c>
      <c r="H6">
        <v>300</v>
      </c>
      <c r="I6">
        <f t="shared" si="0"/>
        <v>2700</v>
      </c>
    </row>
    <row r="7" spans="2:9" ht="15.75" x14ac:dyDescent="0.25">
      <c r="B7" s="2">
        <v>45306</v>
      </c>
      <c r="C7" t="s">
        <v>14</v>
      </c>
      <c r="D7" t="s">
        <v>8</v>
      </c>
      <c r="E7" t="s">
        <v>9</v>
      </c>
      <c r="F7" t="s">
        <v>13</v>
      </c>
      <c r="G7">
        <v>20</v>
      </c>
      <c r="H7">
        <v>100</v>
      </c>
      <c r="I7">
        <f t="shared" si="0"/>
        <v>2000</v>
      </c>
    </row>
    <row r="8" spans="2:9" ht="15.75" x14ac:dyDescent="0.25">
      <c r="B8" s="2">
        <v>45309</v>
      </c>
      <c r="C8" t="s">
        <v>16</v>
      </c>
      <c r="D8" t="s">
        <v>17</v>
      </c>
      <c r="E8" t="s">
        <v>18</v>
      </c>
      <c r="F8" t="s">
        <v>15</v>
      </c>
      <c r="G8">
        <v>10</v>
      </c>
      <c r="H8">
        <v>250</v>
      </c>
      <c r="I8">
        <f t="shared" si="0"/>
        <v>2500</v>
      </c>
    </row>
    <row r="9" spans="2:9" ht="15.75" x14ac:dyDescent="0.25">
      <c r="B9" s="2">
        <v>45311</v>
      </c>
      <c r="C9" t="s">
        <v>11</v>
      </c>
      <c r="D9" t="s">
        <v>8</v>
      </c>
      <c r="E9" t="s">
        <v>9</v>
      </c>
      <c r="F9" t="s">
        <v>19</v>
      </c>
      <c r="G9">
        <v>7</v>
      </c>
      <c r="H9">
        <v>350</v>
      </c>
      <c r="I9">
        <f t="shared" si="0"/>
        <v>2450</v>
      </c>
    </row>
    <row r="10" spans="2:9" ht="15.75" x14ac:dyDescent="0.25">
      <c r="B10" s="2">
        <v>45313</v>
      </c>
      <c r="C10" t="s">
        <v>7</v>
      </c>
      <c r="D10" t="s">
        <v>8</v>
      </c>
      <c r="E10" t="s">
        <v>18</v>
      </c>
      <c r="F10" t="s">
        <v>10</v>
      </c>
      <c r="G10">
        <v>11</v>
      </c>
      <c r="H10">
        <v>300</v>
      </c>
      <c r="I10">
        <f t="shared" si="0"/>
        <v>3300</v>
      </c>
    </row>
    <row r="11" spans="2:9" ht="15.75" x14ac:dyDescent="0.25">
      <c r="B11" s="2">
        <v>45316</v>
      </c>
      <c r="C11" t="s">
        <v>14</v>
      </c>
      <c r="D11" t="s">
        <v>8</v>
      </c>
      <c r="E11" t="s">
        <v>12</v>
      </c>
      <c r="F11" t="s">
        <v>15</v>
      </c>
      <c r="G11">
        <v>18</v>
      </c>
      <c r="H11">
        <v>100</v>
      </c>
      <c r="I11">
        <f t="shared" si="0"/>
        <v>1800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Akinyi</dc:creator>
  <cp:lastModifiedBy>Ruth Akinyi</cp:lastModifiedBy>
  <dcterms:created xsi:type="dcterms:W3CDTF">2026-02-11T07:39:56Z</dcterms:created>
  <dcterms:modified xsi:type="dcterms:W3CDTF">2026-03-22T06:18:43Z</dcterms:modified>
</cp:coreProperties>
</file>